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EF0A3169-33C6-E2D0-F78B-2A1B10235526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ohn/Documents/_Home/JVC_Toolbox/Excel/XLStart/"/>
    </mc:Choice>
  </mc:AlternateContent>
  <xr:revisionPtr revIDLastSave="0" documentId="13_ncr:1_{E6185BF2-A162-CE47-A704-3DD01C1D7D76}" xr6:coauthVersionLast="45" xr6:coauthVersionMax="45" xr10:uidLastSave="{00000000-0000-0000-0000-000000000000}"/>
  <bookViews>
    <workbookView xWindow="0" yWindow="460" windowWidth="25600" windowHeight="14800" activeTab="1" xr2:uid="{00000000-000D-0000-FFFF-FFFF00000000}"/>
  </bookViews>
  <sheets>
    <sheet name="Sorting" sheetId="1" state="hidden" r:id="rId1"/>
    <sheet name="Sheet1" sheetId="2" r:id="rId2"/>
  </sheets>
  <functionGroups builtInGroupCount="19"/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3" i="1" l="1"/>
  <c r="U22" i="1"/>
  <c r="U21" i="1"/>
  <c r="U20" i="1"/>
  <c r="V20" i="1"/>
  <c r="V21" i="1" s="1"/>
  <c r="V22" i="1" s="1"/>
  <c r="V23" i="1" s="1"/>
</calcChain>
</file>

<file path=xl/sharedStrings.xml><?xml version="1.0" encoding="utf-8"?>
<sst xmlns="http://schemas.openxmlformats.org/spreadsheetml/2006/main" count="578" uniqueCount="578">
  <si>
    <t>FY'80</t>
  </si>
  <si>
    <t>FY'81</t>
  </si>
  <si>
    <t>FY'82</t>
  </si>
  <si>
    <t>FY'83</t>
  </si>
  <si>
    <t>FY'84</t>
  </si>
  <si>
    <t>FY'85</t>
  </si>
  <si>
    <t>FY'86</t>
  </si>
  <si>
    <t>FY'87</t>
  </si>
  <si>
    <t>FY'88</t>
  </si>
  <si>
    <t>FY'89</t>
  </si>
  <si>
    <t>FY'90</t>
  </si>
  <si>
    <t>FY'91</t>
  </si>
  <si>
    <t>FY'92</t>
  </si>
  <si>
    <t>FY'93</t>
  </si>
  <si>
    <t>FY'94</t>
  </si>
  <si>
    <t>FY'95</t>
  </si>
  <si>
    <t>FY'96</t>
  </si>
  <si>
    <t>FY'97</t>
  </si>
  <si>
    <t>FY'98</t>
  </si>
  <si>
    <t>FY'99</t>
  </si>
  <si>
    <t>FY'00</t>
  </si>
  <si>
    <t>FY'01</t>
  </si>
  <si>
    <t>FY'02</t>
  </si>
  <si>
    <t>FY'03</t>
  </si>
  <si>
    <t>FY'04</t>
  </si>
  <si>
    <t>FY'05</t>
  </si>
  <si>
    <t>FY'06</t>
  </si>
  <si>
    <t>FY'07</t>
  </si>
  <si>
    <t>FY'08</t>
  </si>
  <si>
    <t>FY'09</t>
  </si>
  <si>
    <t>FY'10</t>
  </si>
  <si>
    <t>FY'11</t>
  </si>
  <si>
    <t>FY'12</t>
  </si>
  <si>
    <t>FY'13</t>
  </si>
  <si>
    <t>FY'14</t>
  </si>
  <si>
    <t>FY'15</t>
  </si>
  <si>
    <t>FY'16</t>
  </si>
  <si>
    <t>FY'17</t>
  </si>
  <si>
    <t>FY'18</t>
  </si>
  <si>
    <t>FY'19</t>
  </si>
  <si>
    <t>FY'20</t>
  </si>
  <si>
    <t>FY'21</t>
  </si>
  <si>
    <t>FY'22</t>
  </si>
  <si>
    <t>FY'23</t>
  </si>
  <si>
    <t>FY'24</t>
  </si>
  <si>
    <t>FY'25</t>
  </si>
  <si>
    <t>FY'26</t>
  </si>
  <si>
    <t>FY'27</t>
  </si>
  <si>
    <t>FY'28</t>
  </si>
  <si>
    <t>FY'29</t>
  </si>
  <si>
    <t>FY'30</t>
  </si>
  <si>
    <t>Sort_FY</t>
  </si>
  <si>
    <t>1 Month</t>
  </si>
  <si>
    <t>2 Month</t>
  </si>
  <si>
    <t>3 Month</t>
  </si>
  <si>
    <t>4 Month</t>
  </si>
  <si>
    <t>6 Month</t>
  </si>
  <si>
    <t>7 Month</t>
  </si>
  <si>
    <t>8 Month</t>
  </si>
  <si>
    <t>9 Month</t>
  </si>
  <si>
    <t>10 Month</t>
  </si>
  <si>
    <t>11 Month</t>
  </si>
  <si>
    <t>12 Month</t>
  </si>
  <si>
    <t>Sort_Months</t>
  </si>
  <si>
    <t>5 Month</t>
  </si>
  <si>
    <t>Country</t>
  </si>
  <si>
    <t>Name</t>
  </si>
  <si>
    <t>AD</t>
  </si>
  <si>
    <t>Andorra</t>
  </si>
  <si>
    <t>AE</t>
  </si>
  <si>
    <t>Utd.Arab.Emir.</t>
  </si>
  <si>
    <t>AF</t>
  </si>
  <si>
    <t>Afghanistan</t>
  </si>
  <si>
    <t>AG</t>
  </si>
  <si>
    <t>Antigua/Barbads</t>
  </si>
  <si>
    <t>AI</t>
  </si>
  <si>
    <t>Anguilla</t>
  </si>
  <si>
    <t>AL</t>
  </si>
  <si>
    <t>Albania</t>
  </si>
  <si>
    <t>AM</t>
  </si>
  <si>
    <t>Armenia</t>
  </si>
  <si>
    <t>AN</t>
  </si>
  <si>
    <t>Dutch Antilles</t>
  </si>
  <si>
    <t>AO</t>
  </si>
  <si>
    <t>Angola</t>
  </si>
  <si>
    <t>AQ</t>
  </si>
  <si>
    <t>Antarctica</t>
  </si>
  <si>
    <t>AR</t>
  </si>
  <si>
    <t>Argentina</t>
  </si>
  <si>
    <t>AS</t>
  </si>
  <si>
    <t>Samoa,American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</si>
  <si>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</si>
  <si>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</si>
  <si>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</si>
  <si>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</si>
  <si>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</si>
  <si>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</si>
  <si>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</si>
  <si>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</si>
  <si>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</si>
  <si>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Bosnia-Herz.</t>
  </si>
  <si>
    <t>BB</t>
  </si>
  <si>
    <t>Barbados</t>
  </si>
  <si>
    <t>BD</t>
  </si>
  <si>
    <t>Bangladesh</t>
  </si>
  <si>
    <t>BE</t>
  </si>
  <si>
    <t>Belgium</t>
  </si>
  <si>
    <t>BF</t>
  </si>
  <si>
    <t>Burkina-Faso</t>
  </si>
  <si>
    <t>BG</t>
  </si>
  <si>
    <t>Bulgaria</t>
  </si>
  <si>
    <t>BH</t>
  </si>
  <si>
    <t>Bahrain</t>
  </si>
  <si>
    <t>BI</t>
  </si>
  <si>
    <t>RU</t>
  </si>
  <si>
    <t>Burundi</t>
  </si>
  <si>
    <t>BJ</t>
  </si>
  <si>
    <t>Benin</t>
  </si>
  <si>
    <t>BM</t>
  </si>
  <si>
    <t>Bermuda</t>
  </si>
  <si>
    <t>BN</t>
  </si>
  <si>
    <t>Brunei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</si>
  <si>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</si>
  <si>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</si>
  <si>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</si>
  <si>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</si>
  <si>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</si>
  <si>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</si>
  <si>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</si>
  <si>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</si>
  <si>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</si>
  <si>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Islands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</si>
  <si>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</si>
  <si>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</si>
  <si>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</si>
  <si>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</si>
  <si>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</si>
  <si>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</si>
  <si>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</si>
  <si>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</si>
  <si>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</si>
  <si>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Cocos Islands</t>
  </si>
  <si>
    <t>CF</t>
  </si>
  <si>
    <t>Central Afr.Rep</t>
  </si>
  <si>
    <t>CG</t>
  </si>
  <si>
    <t>Congo</t>
  </si>
  <si>
    <t>CH</t>
  </si>
  <si>
    <t>Switzerland</t>
  </si>
  <si>
    <t>CI</t>
  </si>
  <si>
    <t>Ivory Coast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</si>
  <si>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</si>
  <si>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</si>
  <si>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</si>
  <si>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</si>
  <si>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</si>
  <si>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</si>
  <si>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</si>
  <si>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</si>
  <si>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</si>
  <si>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</si>
  <si>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</si>
  <si>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</si>
  <si>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CS</t>
  </si>
  <si>
    <t>Serb/Montenegro</t>
  </si>
  <si>
    <t>CU</t>
  </si>
  <si>
    <t>Cuba</t>
  </si>
  <si>
    <t>CV</t>
  </si>
  <si>
    <t>Cape Verde</t>
  </si>
  <si>
    <t>CX</t>
  </si>
  <si>
    <t>Christmas Islnd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</si>
  <si>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</si>
  <si>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</si>
  <si>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</si>
  <si>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</si>
  <si>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</si>
  <si>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</si>
  <si>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</si>
  <si>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</si>
  <si>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</si>
  <si>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</si>
  <si>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</si>
  <si>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</si>
  <si>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</si>
  <si>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Rep.</t>
  </si>
  <si>
    <t>DZ</t>
  </si>
  <si>
    <t>Algeria</t>
  </si>
  <si>
    <t>EC</t>
  </si>
  <si>
    <t>Ecuador</t>
  </si>
  <si>
    <t>EE</t>
  </si>
  <si>
    <t>Estonia</t>
  </si>
  <si>
    <t>EG</t>
  </si>
  <si>
    <t>ET</t>
  </si>
  <si>
    <t>Egypt</t>
  </si>
  <si>
    <t>EH</t>
  </si>
  <si>
    <t>Western Sahara</t>
  </si>
  <si>
    <t>ER</t>
  </si>
  <si>
    <t>Eritrea</t>
  </si>
  <si>
    <t>ES</t>
  </si>
  <si>
    <t>Spain</t>
  </si>
  <si>
    <t>Ethiopia</t>
  </si>
  <si>
    <t>FI</t>
  </si>
  <si>
    <t>Finland</t>
  </si>
  <si>
    <t>FJ</t>
  </si>
  <si>
    <t>Fiji</t>
  </si>
  <si>
    <t>FK</t>
  </si>
  <si>
    <t>Falkland Isles</t>
  </si>
  <si>
    <t>FM</t>
  </si>
  <si>
    <t>Micronesia</t>
  </si>
  <si>
    <t>FO</t>
  </si>
  <si>
    <t>FR</t>
  </si>
  <si>
    <t>Faeroe</t>
  </si>
  <si>
    <t>France</t>
  </si>
  <si>
    <t>GA</t>
  </si>
  <si>
    <t>Gabon</t>
  </si>
  <si>
    <t>GB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</si>
  <si>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</si>
  <si>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</si>
  <si>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</si>
  <si>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</si>
  <si>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</si>
  <si>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</si>
  <si>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</si>
  <si>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</si>
  <si>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</si>
  <si>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</si>
  <si>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</si>
  <si>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</si>
  <si>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</si>
  <si>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</si>
  <si>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</si>
  <si>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</si>
  <si>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</si>
  <si>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</si>
  <si>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</si>
  <si>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</si>
  <si>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</t>
  </si>
  <si>
    <t>GR</t>
  </si>
  <si>
    <t>Greece</t>
  </si>
  <si>
    <t>GS</t>
  </si>
  <si>
    <t>S. Sandwich Ins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</si>
  <si>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</si>
  <si>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</si>
  <si>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</si>
  <si>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</si>
  <si>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</si>
  <si>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</si>
  <si>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</si>
  <si>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</si>
  <si>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GZ</t>
  </si>
  <si>
    <t>Gaza Strip</t>
  </si>
  <si>
    <t>HK</t>
  </si>
  <si>
    <t>Hong Kong</t>
  </si>
  <si>
    <t>HM</t>
  </si>
  <si>
    <t>Heard/McDon.Isl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</si>
  <si>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</si>
  <si>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</si>
  <si>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</si>
  <si>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</si>
  <si>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</si>
  <si>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</si>
  <si>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</si>
  <si>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</si>
  <si>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</si>
  <si>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</si>
  <si>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</si>
  <si>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</si>
  <si>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</si>
  <si>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</si>
  <si>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</si>
  <si>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</si>
  <si>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</si>
  <si>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Brit.Ind.Oc.Ter</t>
  </si>
  <si>
    <t>IQ</t>
  </si>
  <si>
    <t>Iraq</t>
  </si>
  <si>
    <t>IR</t>
  </si>
  <si>
    <t>Iran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</si>
  <si>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</si>
  <si>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</si>
  <si>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</si>
  <si>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</si>
  <si>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</si>
  <si>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</si>
  <si>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</si>
  <si>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</si>
  <si>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</si>
  <si>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</si>
  <si>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JT</t>
  </si>
  <si>
    <t>Johnston Atoll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</si>
  <si>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</si>
  <si>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</si>
  <si>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</si>
  <si>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</si>
  <si>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</si>
  <si>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</si>
  <si>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</si>
  <si>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</si>
  <si>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</si>
  <si>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</t>
  </si>
  <si>
    <t>KN</t>
  </si>
  <si>
    <t>St Kitts&amp;Nevis</t>
  </si>
  <si>
    <t>KP</t>
  </si>
  <si>
    <t>North Korea</t>
  </si>
  <si>
    <t>KR</t>
  </si>
  <si>
    <t>South Korea</t>
  </si>
  <si>
    <t>KV</t>
  </si>
  <si>
    <t>Kosovo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</si>
  <si>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</si>
  <si>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</si>
  <si>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</si>
  <si>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</si>
  <si>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</si>
  <si>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</si>
  <si>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</si>
  <si>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</si>
  <si>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</si>
  <si>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</si>
  <si>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</si>
  <si>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St.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</si>
  <si>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</si>
  <si>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</si>
  <si>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</si>
  <si>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</si>
  <si>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</si>
  <si>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</si>
  <si>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</si>
  <si>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</si>
  <si>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</si>
  <si>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</si>
  <si>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</si>
  <si>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</si>
  <si>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</si>
  <si>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</si>
  <si>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</si>
  <si>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</si>
  <si>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MA</t>
  </si>
  <si>
    <t>Morocco</t>
  </si>
  <si>
    <t>MC</t>
  </si>
  <si>
    <t>Monaco</t>
  </si>
  <si>
    <t>MD</t>
  </si>
  <si>
    <t>Moldavia</t>
  </si>
  <si>
    <t>ME</t>
  </si>
  <si>
    <t>Montenegro</t>
  </si>
  <si>
    <t>MG</t>
  </si>
  <si>
    <t>Madagascar</t>
  </si>
  <si>
    <t>MH</t>
  </si>
  <si>
    <t>Marshall Islnds</t>
  </si>
  <si>
    <t>MI</t>
  </si>
  <si>
    <t>Midway Islands</t>
  </si>
  <si>
    <t>MK</t>
  </si>
  <si>
    <t>Macedonia</t>
  </si>
  <si>
    <t>ML</t>
  </si>
  <si>
    <t>Mali</t>
  </si>
  <si>
    <t>MM</t>
  </si>
  <si>
    <t>Myanmar</t>
  </si>
  <si>
    <t>MN</t>
  </si>
  <si>
    <t>Mongolia</t>
  </si>
  <si>
    <t>MO</t>
  </si>
  <si>
    <t>Macau</t>
  </si>
  <si>
    <t>MP</t>
  </si>
  <si>
    <t>N.Mariana Islnd</t>
  </si>
  <si>
    <t>MQ</t>
  </si>
  <si>
    <t>Martinique</t>
  </si>
  <si>
    <t>MR</t>
  </si>
  <si>
    <t>Mauretania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</si>
  <si>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</si>
  <si>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</si>
  <si>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</si>
  <si>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</si>
  <si>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</si>
  <si>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</si>
  <si>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</si>
  <si>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</si>
  <si>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</si>
  <si>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</si>
  <si>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</si>
  <si>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</si>
  <si>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</si>
  <si>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</si>
  <si>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</si>
  <si>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</si>
  <si>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</si>
  <si>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</si>
  <si>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</si>
  <si>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</si>
  <si>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</si>
  <si>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</si>
  <si>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</si>
  <si>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</si>
  <si>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</si>
  <si>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</si>
  <si>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</si>
  <si>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</si>
  <si>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</si>
  <si>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The Netherlands</t>
  </si>
  <si>
    <t>NO</t>
  </si>
  <si>
    <t>Norway</t>
  </si>
  <si>
    <t>NP</t>
  </si>
  <si>
    <t>Nepal</t>
  </si>
  <si>
    <t>NR</t>
  </si>
  <si>
    <t>Nauru</t>
  </si>
  <si>
    <t>NU</t>
  </si>
  <si>
    <t>Niue Islands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</si>
  <si>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</si>
  <si>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</si>
  <si>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</si>
  <si>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</si>
  <si>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</si>
  <si>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</si>
  <si>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</si>
  <si>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</si>
  <si>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</si>
  <si>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Frenc.Polynesia</t>
  </si>
  <si>
    <t>PG</t>
  </si>
  <si>
    <t>Pap. New Guinea</t>
  </si>
  <si>
    <t>PH</t>
  </si>
  <si>
    <t>Philippines</t>
  </si>
  <si>
    <t>PK</t>
  </si>
  <si>
    <t>Pakistan</t>
  </si>
  <si>
    <t>PL</t>
  </si>
  <si>
    <t>Poland</t>
  </si>
  <si>
    <t>PM</t>
  </si>
  <si>
    <t>St.Pier,Miquel.</t>
  </si>
  <si>
    <t>PN</t>
  </si>
  <si>
    <t>Pitcairn Isles</t>
  </si>
  <si>
    <t>PQ</t>
  </si>
  <si>
    <t>Canal Zone</t>
  </si>
  <si>
    <t>PR</t>
  </si>
  <si>
    <t>Puerto Rico</t>
  </si>
  <si>
    <t>PS</t>
  </si>
  <si>
    <t>Palestine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</si>
  <si>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</si>
  <si>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</si>
  <si>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</si>
  <si>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</si>
  <si>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</si>
  <si>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</si>
  <si>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</si>
  <si>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</si>
  <si>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</si>
  <si>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</si>
  <si>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</si>
  <si>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</si>
  <si>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RS</t>
  </si>
  <si>
    <t>Serbia</t>
  </si>
  <si>
    <t>Russian Fed.</t>
  </si>
  <si>
    <t>RW</t>
  </si>
  <si>
    <t>Rwanda</t>
  </si>
  <si>
    <t>SA</t>
  </si>
  <si>
    <t>Saudi Arabia</t>
  </si>
  <si>
    <t>SB</t>
  </si>
  <si>
    <t>Solomon Islands</t>
  </si>
  <si>
    <t>SC</t>
  </si>
  <si>
    <t>SY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</si>
  <si>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</si>
  <si>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</si>
  <si>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</si>
  <si>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</si>
  <si>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</si>
  <si>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</si>
  <si>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</si>
  <si>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</si>
  <si>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</si>
  <si>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</si>
  <si>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</si>
  <si>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</si>
  <si>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Svalbard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</si>
  <si>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</si>
  <si>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</si>
  <si>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</si>
  <si>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</si>
  <si>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</si>
  <si>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</si>
  <si>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</si>
  <si>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</si>
  <si>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</si>
  <si>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</si>
  <si>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</si>
  <si>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</si>
  <si>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ST</t>
  </si>
  <si>
    <t>S.Tome,Principe</t>
  </si>
  <si>
    <t>STL</t>
  </si>
  <si>
    <t>stateless</t>
  </si>
  <si>
    <t>SV</t>
  </si>
  <si>
    <t>El Salvador</t>
  </si>
  <si>
    <t>Syria</t>
  </si>
  <si>
    <t>SZ</t>
  </si>
  <si>
    <t>Swaziland</t>
  </si>
  <si>
    <t>TC</t>
  </si>
  <si>
    <t>Turksh Caicosin</t>
  </si>
  <si>
    <t>TD</t>
  </si>
  <si>
    <t>Chad</t>
  </si>
  <si>
    <t>TF</t>
  </si>
  <si>
    <t>Fr So &amp;Antartic</t>
  </si>
  <si>
    <t>TG</t>
  </si>
  <si>
    <t>Togo</t>
  </si>
  <si>
    <t>TH</t>
  </si>
  <si>
    <t>Thailand</t>
  </si>
  <si>
    <t>TJ</t>
  </si>
  <si>
    <t>Tajikistan</t>
  </si>
  <si>
    <t>TK</t>
  </si>
  <si>
    <t>Tokelau Islands</t>
  </si>
  <si>
    <t>TM</t>
  </si>
  <si>
    <t>Turkmenistan</t>
  </si>
  <si>
    <t>TN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</si>
  <si>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</si>
  <si>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</si>
  <si>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</si>
  <si>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</si>
  <si>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</si>
  <si>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</si>
  <si>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</si>
  <si>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</si>
  <si>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Trinidad,Tobago</t>
  </si>
  <si>
    <t>TV</t>
  </si>
  <si>
    <t>Tuvalu</t>
  </si>
  <si>
    <t>TW</t>
  </si>
  <si>
    <t>Taiwan, R.O.C.</t>
  </si>
  <si>
    <t>TZ</t>
  </si>
  <si>
    <t>Tanzania</t>
  </si>
  <si>
    <t>UA</t>
  </si>
  <si>
    <t>Ukraine</t>
  </si>
  <si>
    <t>UG</t>
  </si>
  <si>
    <t>Uganda</t>
  </si>
  <si>
    <t>UM</t>
  </si>
  <si>
    <t>Minor Outl.Isl.</t>
  </si>
  <si>
    <t>US</t>
  </si>
  <si>
    <t>USA</t>
  </si>
  <si>
    <t>UY</t>
  </si>
  <si>
    <t>Uruguay</t>
  </si>
  <si>
    <t>UZ</t>
  </si>
  <si>
    <t>Uzbekistan</t>
  </si>
  <si>
    <t>VA</t>
  </si>
  <si>
    <t>Vatican City</t>
  </si>
  <si>
    <t>VC</t>
  </si>
  <si>
    <t>St. Vincent</t>
  </si>
  <si>
    <t>VE</t>
  </si>
  <si>
    <t>Venezuela</t>
  </si>
  <si>
    <t>VG</t>
  </si>
  <si>
    <t>Brit.Virgin Is.</t>
  </si>
  <si>
    <t>VI</t>
  </si>
  <si>
    <t>Amer.Virgin Is.</t>
  </si>
  <si>
    <t>VN</t>
  </si>
  <si>
    <t>Vietnam</t>
  </si>
  <si>
    <t>VU</t>
  </si>
  <si>
    <t>Vanuatu</t>
  </si>
  <si>
    <t>WE</t>
  </si>
  <si>
    <t>West Bank</t>
  </si>
  <si>
    <t>WF</t>
  </si>
  <si>
    <t>Wallis,Futuna</t>
  </si>
  <si>
    <t>WK</t>
  </si>
  <si>
    <t>Wake Island(US)</t>
  </si>
  <si>
    <t>WS</t>
  </si>
  <si>
    <t>Western Samoa</t>
  </si>
  <si>
    <t>YE</t>
  </si>
  <si>
    <t>Yemen</t>
  </si>
  <si>
    <t>YO</t>
  </si>
  <si>
    <t>Serbia &amp; Monten</t>
  </si>
  <si>
    <t>YT</t>
  </si>
  <si>
    <t>Mayotte</t>
  </si>
  <si>
    <t>YU</t>
  </si>
  <si>
    <t>Yugoslavia</t>
  </si>
  <si>
    <t>ZA</t>
  </si>
  <si>
    <t>South Africa</t>
  </si>
  <si>
    <t>ZM</t>
  </si>
  <si>
    <t>Zambia</t>
  </si>
  <si>
    <t>ZR</t>
  </si>
  <si>
    <t>Zaire</t>
  </si>
  <si>
    <t>ZW</t>
  </si>
  <si>
    <t>Zimbabwe</t>
  </si>
  <si>
    <t>SAP</t>
  </si>
  <si>
    <r>
      <t xml:space="preserve">95.4 within </t>
    </r>
    <r>
      <rPr>
        <sz val="10"/>
        <rFont val="Calibri"/>
        <family val="2"/>
      </rPr>
      <t>±</t>
    </r>
    <r>
      <rPr>
        <sz val="10"/>
        <rFont val="Arial"/>
        <family val="2"/>
      </rPr>
      <t xml:space="preserve"> 2 sigma</t>
    </r>
  </si>
  <si>
    <t>1-side</t>
  </si>
  <si>
    <t>2-side</t>
  </si>
  <si>
    <t>1-sigma</t>
  </si>
  <si>
    <t>2-sigma</t>
  </si>
  <si>
    <t>3-sigma</t>
  </si>
  <si>
    <t>4-sigma</t>
  </si>
  <si>
    <t xml:space="preserve">∑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</si>
</sst>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0" fillId="0" borderId="0" xfId="0" quotePrefix="1" applyNumberFormat="1" applyFill="1" applyAlignment="1">
      <alignment horizontal="left"/>
    </xf>
    <xf numFmtId="0" fontId="3" fillId="0" borderId="0" xfId="0" applyNumberFormat="1" applyFont="1" applyFill="1"/>
    <xf numFmtId="0" fontId="3" fillId="0" borderId="0" xfId="0" applyNumberFormat="1" applyFont="1" applyFill="1" applyAlignment="1">
      <alignment horizontal="right"/>
    </xf>
    <xf numFmtId="0" fontId="2" fillId="0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24</xdr:row>
      <xdr:rowOff>152400</xdr:rowOff>
    </xdr:from>
    <xdr:to>
      <xdr:col>16</xdr:col>
      <xdr:colOff>381000</xdr:colOff>
      <xdr:row>64</xdr:row>
      <xdr:rowOff>28575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81600" y="4038600"/>
          <a:ext cx="5543550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304800</xdr:colOff>
      <xdr:row>1</xdr:row>
      <xdr:rowOff>123825</xdr:rowOff>
    </xdr:from>
    <xdr:to>
      <xdr:col>16</xdr:col>
      <xdr:colOff>257175</xdr:colOff>
      <xdr:row>24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162550" y="285750"/>
          <a:ext cx="5438775" cy="3686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561975</xdr:colOff>
      <xdr:row>4</xdr:row>
      <xdr:rowOff>0</xdr:rowOff>
    </xdr:from>
    <xdr:to>
      <xdr:col>24</xdr:col>
      <xdr:colOff>34243</xdr:colOff>
      <xdr:row>17</xdr:row>
      <xdr:rowOff>76200</xdr:rowOff>
    </xdr:to>
    <xdr:pic>
      <xdr:nvPicPr>
        <xdr:cNvPr id="3" name="Picture 1" descr="http://upload.wikimedia.org/wikipedia/commons/thumb/8/8c/Standard_deviation_diagram.svg/325px-Standard_deviation_diagram.svg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06125" y="647700"/>
          <a:ext cx="4349068" cy="21812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4</xdr:row>
      <xdr:rowOff>31750</xdr:rowOff>
    </xdr:from>
    <xdr:to>
      <xdr:col>6</xdr:col>
      <xdr:colOff>164755</xdr:colOff>
      <xdr:row>26</xdr:row>
      <xdr:rowOff>41037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177925" y="692150"/>
          <a:ext cx="3025430" cy="3641487"/>
          <a:chOff x="2486025" y="171450"/>
          <a:chExt cx="2771430" cy="3571637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495550" y="171450"/>
            <a:ext cx="2761905" cy="1904762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486025" y="1838325"/>
            <a:ext cx="2761905" cy="1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254"/>
  <sheetViews>
    <sheetView workbookViewId="0">
      <selection activeCell="D8" sqref="D8"/>
    </sheetView>
  </sheetViews>
  <sheetFormatPr baseColWidth="10" defaultColWidth="8.83203125" defaultRowHeight="13" x14ac:dyDescent="0.15"/>
  <cols>
    <col min="1" max="3" width="8.83203125" style="2"/>
    <col min="4" max="4" width="11.5" style="2" bestFit="1" customWidth="1"/>
    <col min="5" max="6" width="8.83203125" style="2"/>
    <col min="7" max="7" width="15.5" style="2" bestFit="1" customWidth="1"/>
    <col min="8" max="16384" width="8.83203125" style="2"/>
  </cols>
  <sheetData>
    <row r="2" spans="2:18" x14ac:dyDescent="0.15">
      <c r="F2" s="2" t="s">
        <v>569</v>
      </c>
    </row>
    <row r="3" spans="2:18" x14ac:dyDescent="0.15">
      <c r="B3" s="2" t="s">
        <v>51</v>
      </c>
      <c r="D3" s="2" t="s">
        <v>63</v>
      </c>
      <c r="F3" s="2" t="s">
        <v>65</v>
      </c>
      <c r="G3" s="2" t="s">
        <v>66</v>
      </c>
    </row>
    <row r="4" spans="2:18" x14ac:dyDescent="0.15">
      <c r="B4" s="3" t="s">
        <v>0</v>
      </c>
      <c r="D4" s="2" t="s">
        <v>52</v>
      </c>
      <c r="F4" s="2" t="s">
        <v>67</v>
      </c>
      <c r="G4" s="2" t="s">
        <v>68</v>
      </c>
    </row>
    <row r="5" spans="2:18" x14ac:dyDescent="0.15">
      <c r="B5" s="3" t="s">
        <v>1</v>
      </c>
      <c r="D5" s="2" t="s">
        <v>53</v>
      </c>
      <c r="F5" s="2" t="s">
        <v>69</v>
      </c>
      <c r="G5" s="2" t="s">
        <v>70</v>
      </c>
    </row>
    <row r="6" spans="2:18" x14ac:dyDescent="0.15">
      <c r="B6" s="3" t="s">
        <v>2</v>
      </c>
      <c r="D6" s="2" t="s">
        <v>54</v>
      </c>
      <c r="F6" s="2" t="s">
        <v>71</v>
      </c>
      <c r="G6" s="2" t="s">
        <v>72</v>
      </c>
    </row>
    <row r="7" spans="2:18" x14ac:dyDescent="0.15">
      <c r="B7" s="3" t="s">
        <v>3</v>
      </c>
      <c r="D7" s="2" t="s">
        <v>55</v>
      </c>
      <c r="F7" s="2" t="s">
        <v>73</v>
      </c>
      <c r="G7" s="2" t="s">
        <v>74</v>
      </c>
    </row>
    <row r="8" spans="2:18" x14ac:dyDescent="0.15">
      <c r="B8" s="3" t="s">
        <v>4</v>
      </c>
      <c r="D8" s="2" t="s">
        <v>64</v>
      </c>
      <c r="F8" s="2" t="s">
        <v>75</v>
      </c>
      <c r="G8" s="2" t="s">
        <v>76</v>
      </c>
    </row>
    <row r="9" spans="2:18" x14ac:dyDescent="0.15">
      <c r="B9" s="3" t="s">
        <v>5</v>
      </c>
      <c r="D9" s="2" t="s">
        <v>56</v>
      </c>
      <c r="F9" s="2" t="s">
        <v>77</v>
      </c>
      <c r="G9" s="2" t="s">
        <v>78</v>
      </c>
    </row>
    <row r="10" spans="2:18" x14ac:dyDescent="0.15">
      <c r="B10" s="3" t="s">
        <v>6</v>
      </c>
      <c r="D10" s="2" t="s">
        <v>57</v>
      </c>
      <c r="F10" s="2" t="s">
        <v>79</v>
      </c>
      <c r="G10" s="2" t="s">
        <v>80</v>
      </c>
    </row>
    <row r="11" spans="2:18" x14ac:dyDescent="0.15">
      <c r="B11" s="3" t="s">
        <v>7</v>
      </c>
      <c r="D11" s="2" t="s">
        <v>58</v>
      </c>
      <c r="F11" s="2" t="s">
        <v>81</v>
      </c>
      <c r="G11" s="2" t="s">
        <v>82</v>
      </c>
    </row>
    <row r="12" spans="2:18" x14ac:dyDescent="0.15">
      <c r="B12" s="3" t="s">
        <v>8</v>
      </c>
      <c r="D12" s="2" t="s">
        <v>59</v>
      </c>
      <c r="F12" s="2" t="s">
        <v>83</v>
      </c>
      <c r="G12" s="2" t="s">
        <v>84</v>
      </c>
    </row>
    <row r="13" spans="2:18" x14ac:dyDescent="0.15">
      <c r="B13" s="3" t="s">
        <v>9</v>
      </c>
      <c r="D13" s="2" t="s">
        <v>60</v>
      </c>
      <c r="F13" s="2" t="s">
        <v>85</v>
      </c>
      <c r="G13" s="2" t="s">
        <v>86</v>
      </c>
    </row>
    <row r="14" spans="2:18" x14ac:dyDescent="0.15">
      <c r="B14" s="3" t="s">
        <v>10</v>
      </c>
      <c r="D14" s="2" t="s">
        <v>61</v>
      </c>
      <c r="F14" s="2" t="s">
        <v>87</v>
      </c>
      <c r="G14" s="2" t="s">
        <v>88</v>
      </c>
    </row>
    <row r="15" spans="2:18" x14ac:dyDescent="0.15">
      <c r="B15" s="3" t="s">
        <v>11</v>
      </c>
      <c r="D15" s="2" t="s">
        <v>62</v>
      </c>
      <c r="F15" s="2" t="s">
        <v>89</v>
      </c>
      <c r="G15" s="2" t="s">
        <v>90</v>
      </c>
    </row>
    <row r="16" spans="2:18" x14ac:dyDescent="0.15">
      <c r="B16" s="3" t="s">
        <v>12</v>
      </c>
      <c r="F16" s="2" t="s">
        <v>91</v>
      </c>
      <c r="G16" s="2" t="s">
        <v>92</v>
      </c>
      <c r="R16"/>
    </row>
    <row r="17" spans="2:22" x14ac:dyDescent="0.15">
      <c r="B17" s="3" t="s">
        <v>13</v>
      </c>
      <c r="F17" s="2" t="s">
        <v>93</v>
      </c>
      <c r="G17" s="2" t="s">
        <v>94</v>
      </c>
    </row>
    <row r="18" spans="2:22" x14ac:dyDescent="0.15">
      <c r="B18" s="3" t="s">
        <v>14</v>
      </c>
      <c r="F18" s="2" t="s">
        <v>95</v>
      </c>
      <c r="G18" s="2" t="s">
        <v>96</v>
      </c>
    </row>
    <row r="19" spans="2:22" ht="14" x14ac:dyDescent="0.2">
      <c r="B19" s="3" t="s">
        <v>15</v>
      </c>
      <c r="F19" s="2" t="s">
        <v>97</v>
      </c>
      <c r="G19" s="2" t="s">
        <v>98</v>
      </c>
      <c r="T19" s="6" t="s">
        <v>571</v>
      </c>
      <c r="U19" s="6" t="s">
        <v>572</v>
      </c>
      <c r="V19" s="7" t="s">
        <v>577</v>
      </c>
    </row>
    <row r="20" spans="2:22" x14ac:dyDescent="0.15">
      <c r="B20" s="3" t="s">
        <v>16</v>
      </c>
      <c r="F20" s="2" t="s">
        <v>99</v>
      </c>
      <c r="G20" s="2" t="s">
        <v>100</v>
      </c>
      <c r="S20" s="5" t="s">
        <v>573</v>
      </c>
      <c r="T20" s="2">
        <v>34.1</v>
      </c>
      <c r="U20" s="2">
        <f>2*T20</f>
        <v>68.2</v>
      </c>
      <c r="V20" s="2">
        <f>U20</f>
        <v>68.2</v>
      </c>
    </row>
    <row r="21" spans="2:22" x14ac:dyDescent="0.15">
      <c r="B21" s="3" t="s">
        <v>17</v>
      </c>
      <c r="F21" s="2" t="s">
        <v>101</v>
      </c>
      <c r="G21" s="2" t="s">
        <v>102</v>
      </c>
      <c r="S21" s="5" t="s">
        <v>574</v>
      </c>
      <c r="T21" s="2">
        <v>13.6</v>
      </c>
      <c r="U21" s="2">
        <f>2*T21</f>
        <v>27.2</v>
      </c>
      <c r="V21" s="2">
        <f>V20+U21</f>
        <v>95.4</v>
      </c>
    </row>
    <row r="22" spans="2:22" x14ac:dyDescent="0.15">
      <c r="B22" s="3" t="s">
        <v>18</v>
      </c>
      <c r="F22" s="2" t="s">
        <v>103</v>
      </c>
      <c r="G22" s="2" t="s">
        <v>104</v>
      </c>
      <c r="S22" s="5" t="s">
        <v>575</v>
      </c>
      <c r="T22" s="2">
        <v>2.1</v>
      </c>
      <c r="U22" s="2">
        <f>2*T22</f>
        <v>4.2</v>
      </c>
      <c r="V22" s="2">
        <f>V21+U22</f>
        <v>99.600000000000009</v>
      </c>
    </row>
    <row r="23" spans="2:22" x14ac:dyDescent="0.15">
      <c r="B23" s="3" t="s">
        <v>19</v>
      </c>
      <c r="F23" s="2" t="s">
        <v>105</v>
      </c>
      <c r="G23" s="2" t="s">
        <v>106</v>
      </c>
      <c r="S23" s="5" t="s">
        <v>576</v>
      </c>
      <c r="T23" s="2">
        <v>0.1</v>
      </c>
      <c r="U23" s="2">
        <f>2*T23</f>
        <v>0.2</v>
      </c>
      <c r="V23" s="2">
        <f>V22+U23</f>
        <v>99.800000000000011</v>
      </c>
    </row>
    <row r="24" spans="2:22" x14ac:dyDescent="0.15">
      <c r="B24" s="4" t="s">
        <v>20</v>
      </c>
      <c r="F24" s="2" t="s">
        <v>107</v>
      </c>
      <c r="G24" s="2" t="s">
        <v>108</v>
      </c>
    </row>
    <row r="25" spans="2:22" ht="14" x14ac:dyDescent="0.2">
      <c r="B25" s="4" t="s">
        <v>21</v>
      </c>
      <c r="F25" s="2" t="s">
        <v>109</v>
      </c>
      <c r="G25" s="2" t="s">
        <v>110</v>
      </c>
      <c r="T25" s="5" t="s">
        <v>570</v>
      </c>
    </row>
    <row r="26" spans="2:22" x14ac:dyDescent="0.15">
      <c r="B26" s="4" t="s">
        <v>22</v>
      </c>
      <c r="F26" s="2" t="s">
        <v>111</v>
      </c>
      <c r="G26" s="2" t="s">
        <v>112</v>
      </c>
    </row>
    <row r="27" spans="2:22" x14ac:dyDescent="0.15">
      <c r="B27" s="4" t="s">
        <v>23</v>
      </c>
      <c r="F27" s="2" t="s">
        <v>113</v>
      </c>
      <c r="G27" s="2" t="s">
        <v>115</v>
      </c>
    </row>
    <row r="28" spans="2:22" x14ac:dyDescent="0.15">
      <c r="B28" s="4" t="s">
        <v>24</v>
      </c>
      <c r="F28" s="2" t="s">
        <v>116</v>
      </c>
      <c r="G28" s="2" t="s">
        <v>117</v>
      </c>
    </row>
    <row r="29" spans="2:22" x14ac:dyDescent="0.15">
      <c r="B29" s="4" t="s">
        <v>25</v>
      </c>
      <c r="F29" s="2" t="s">
        <v>118</v>
      </c>
      <c r="G29" s="2" t="s">
        <v>119</v>
      </c>
    </row>
    <row r="30" spans="2:22" x14ac:dyDescent="0.15">
      <c r="B30" s="4" t="s">
        <v>26</v>
      </c>
      <c r="F30" s="2" t="s">
        <v>120</v>
      </c>
      <c r="G30" s="2" t="s">
        <v>121</v>
      </c>
    </row>
    <row r="31" spans="2:22" x14ac:dyDescent="0.15">
      <c r="B31" s="4" t="s">
        <v>27</v>
      </c>
      <c r="F31" s="2" t="s">
        <v>122</v>
      </c>
      <c r="G31" s="2" t="s">
        <v>123</v>
      </c>
    </row>
    <row r="32" spans="2:22" x14ac:dyDescent="0.15">
      <c r="B32" s="4" t="s">
        <v>28</v>
      </c>
      <c r="F32" s="2" t="s">
        <v>124</v>
      </c>
      <c r="G32" s="2" t="s">
        <v>125</v>
      </c>
    </row>
    <row r="33" spans="2:7" x14ac:dyDescent="0.15">
      <c r="B33" s="4" t="s">
        <v>29</v>
      </c>
      <c r="F33" s="2" t="s">
        <v>126</v>
      </c>
      <c r="G33" s="2" t="s">
        <v>127</v>
      </c>
    </row>
    <row r="34" spans="2:7" x14ac:dyDescent="0.15">
      <c r="B34" s="4" t="s">
        <v>30</v>
      </c>
      <c r="F34" s="2" t="s">
        <v>128</v>
      </c>
      <c r="G34" s="2" t="s">
        <v>129</v>
      </c>
    </row>
    <row r="35" spans="2:7" x14ac:dyDescent="0.15">
      <c r="B35" s="3" t="s">
        <v>31</v>
      </c>
      <c r="F35" s="2" t="s">
        <v>130</v>
      </c>
      <c r="G35" s="2" t="s">
        <v>131</v>
      </c>
    </row>
    <row r="36" spans="2:7" x14ac:dyDescent="0.15">
      <c r="B36" s="3" t="s">
        <v>32</v>
      </c>
      <c r="F36" s="2" t="s">
        <v>132</v>
      </c>
      <c r="G36" s="2" t="s">
        <v>133</v>
      </c>
    </row>
    <row r="37" spans="2:7" x14ac:dyDescent="0.15">
      <c r="B37" s="3" t="s">
        <v>33</v>
      </c>
      <c r="F37" s="2" t="s">
        <v>134</v>
      </c>
      <c r="G37" s="2" t="s">
        <v>135</v>
      </c>
    </row>
    <row r="38" spans="2:7" x14ac:dyDescent="0.15">
      <c r="B38" s="3" t="s">
        <v>34</v>
      </c>
      <c r="F38" s="2" t="s">
        <v>136</v>
      </c>
      <c r="G38" s="2" t="s">
        <v>137</v>
      </c>
    </row>
    <row r="39" spans="2:7" x14ac:dyDescent="0.15">
      <c r="B39" s="3" t="s">
        <v>35</v>
      </c>
      <c r="F39" s="2" t="s">
        <v>138</v>
      </c>
      <c r="G39" s="2" t="s">
        <v>139</v>
      </c>
    </row>
    <row r="40" spans="2:7" x14ac:dyDescent="0.15">
      <c r="B40" s="3" t="s">
        <v>36</v>
      </c>
      <c r="F40" s="2" t="s">
        <v>140</v>
      </c>
      <c r="G40" s="2" t="s">
        <v>141</v>
      </c>
    </row>
    <row r="41" spans="2:7" x14ac:dyDescent="0.15">
      <c r="B41" s="3" t="s">
        <v>37</v>
      </c>
      <c r="F41" s="2" t="s">
        <v>142</v>
      </c>
      <c r="G41" s="2" t="s">
        <v>143</v>
      </c>
    </row>
    <row r="42" spans="2:7" x14ac:dyDescent="0.15">
      <c r="B42" s="3" t="s">
        <v>38</v>
      </c>
      <c r="F42" s="2" t="s">
        <v>144</v>
      </c>
      <c r="G42" s="2" t="s">
        <v>145</v>
      </c>
    </row>
    <row r="43" spans="2:7" x14ac:dyDescent="0.15">
      <c r="B43" s="3" t="s">
        <v>39</v>
      </c>
      <c r="F43" s="2" t="s">
        <v>146</v>
      </c>
      <c r="G43" s="2" t="s">
        <v>147</v>
      </c>
    </row>
    <row r="44" spans="2:7" x14ac:dyDescent="0.15">
      <c r="B44" s="3" t="s">
        <v>40</v>
      </c>
      <c r="F44" s="2" t="s">
        <v>148</v>
      </c>
      <c r="G44" s="2" t="s">
        <v>149</v>
      </c>
    </row>
    <row r="45" spans="2:7" x14ac:dyDescent="0.15">
      <c r="B45" s="3" t="s">
        <v>41</v>
      </c>
      <c r="F45" s="2" t="s">
        <v>150</v>
      </c>
      <c r="G45" s="2" t="s">
        <v>151</v>
      </c>
    </row>
    <row r="46" spans="2:7" x14ac:dyDescent="0.15">
      <c r="B46" s="3" t="s">
        <v>42</v>
      </c>
      <c r="F46" s="2" t="s">
        <v>152</v>
      </c>
      <c r="G46" s="2" t="s">
        <v>153</v>
      </c>
    </row>
    <row r="47" spans="2:7" x14ac:dyDescent="0.15">
      <c r="B47" s="3" t="s">
        <v>43</v>
      </c>
      <c r="F47" s="2" t="s">
        <v>154</v>
      </c>
      <c r="G47" s="2" t="s">
        <v>155</v>
      </c>
    </row>
    <row r="48" spans="2:7" x14ac:dyDescent="0.15">
      <c r="B48" s="3" t="s">
        <v>44</v>
      </c>
      <c r="F48" s="2" t="s">
        <v>156</v>
      </c>
      <c r="G48" s="2" t="s">
        <v>157</v>
      </c>
    </row>
    <row r="49" spans="2:7" x14ac:dyDescent="0.15">
      <c r="B49" s="3" t="s">
        <v>45</v>
      </c>
      <c r="F49" s="2" t="s">
        <v>158</v>
      </c>
      <c r="G49" s="2" t="s">
        <v>159</v>
      </c>
    </row>
    <row r="50" spans="2:7" x14ac:dyDescent="0.15">
      <c r="B50" s="3" t="s">
        <v>46</v>
      </c>
      <c r="F50" s="2" t="s">
        <v>160</v>
      </c>
      <c r="G50" s="2" t="s">
        <v>161</v>
      </c>
    </row>
    <row r="51" spans="2:7" x14ac:dyDescent="0.15">
      <c r="B51" s="3" t="s">
        <v>47</v>
      </c>
      <c r="F51" s="2" t="s">
        <v>162</v>
      </c>
      <c r="G51" s="2" t="s">
        <v>163</v>
      </c>
    </row>
    <row r="52" spans="2:7" x14ac:dyDescent="0.15">
      <c r="B52" s="3" t="s">
        <v>48</v>
      </c>
      <c r="F52" s="2" t="s">
        <v>164</v>
      </c>
      <c r="G52" s="2" t="s">
        <v>165</v>
      </c>
    </row>
    <row r="53" spans="2:7" x14ac:dyDescent="0.15">
      <c r="B53" s="3" t="s">
        <v>49</v>
      </c>
      <c r="F53" s="2" t="s">
        <v>166</v>
      </c>
      <c r="G53" s="2" t="s">
        <v>167</v>
      </c>
    </row>
    <row r="54" spans="2:7" x14ac:dyDescent="0.15">
      <c r="B54" s="3" t="s">
        <v>50</v>
      </c>
      <c r="F54" s="2" t="s">
        <v>168</v>
      </c>
      <c r="G54" s="2" t="s">
        <v>169</v>
      </c>
    </row>
    <row r="55" spans="2:7" x14ac:dyDescent="0.15">
      <c r="F55" s="2" t="s">
        <v>170</v>
      </c>
      <c r="G55" s="2" t="s">
        <v>171</v>
      </c>
    </row>
    <row r="56" spans="2:7" x14ac:dyDescent="0.15">
      <c r="F56" s="2" t="s">
        <v>172</v>
      </c>
      <c r="G56" s="2" t="s">
        <v>173</v>
      </c>
    </row>
    <row r="57" spans="2:7" x14ac:dyDescent="0.15">
      <c r="F57" s="2" t="s">
        <v>174</v>
      </c>
      <c r="G57" s="2" t="s">
        <v>175</v>
      </c>
    </row>
    <row r="58" spans="2:7" x14ac:dyDescent="0.15">
      <c r="F58" s="2" t="s">
        <v>176</v>
      </c>
      <c r="G58" s="2" t="s">
        <v>177</v>
      </c>
    </row>
    <row r="59" spans="2:7" x14ac:dyDescent="0.15">
      <c r="F59" s="2" t="s">
        <v>178</v>
      </c>
      <c r="G59" s="2" t="s">
        <v>179</v>
      </c>
    </row>
    <row r="60" spans="2:7" x14ac:dyDescent="0.15">
      <c r="F60" s="2" t="s">
        <v>180</v>
      </c>
      <c r="G60" s="2" t="s">
        <v>181</v>
      </c>
    </row>
    <row r="61" spans="2:7" x14ac:dyDescent="0.15">
      <c r="F61" s="2" t="s">
        <v>182</v>
      </c>
      <c r="G61" s="2" t="s">
        <v>183</v>
      </c>
    </row>
    <row r="62" spans="2:7" x14ac:dyDescent="0.15">
      <c r="F62" s="2" t="s">
        <v>184</v>
      </c>
      <c r="G62" s="2" t="s">
        <v>185</v>
      </c>
    </row>
    <row r="63" spans="2:7" x14ac:dyDescent="0.15">
      <c r="F63" s="2" t="s">
        <v>186</v>
      </c>
      <c r="G63" s="2" t="s">
        <v>187</v>
      </c>
    </row>
    <row r="64" spans="2:7" x14ac:dyDescent="0.15">
      <c r="F64" s="2" t="s">
        <v>188</v>
      </c>
      <c r="G64" s="2" t="s">
        <v>189</v>
      </c>
    </row>
    <row r="65" spans="6:7" x14ac:dyDescent="0.15">
      <c r="F65" s="2" t="s">
        <v>190</v>
      </c>
      <c r="G65" s="2" t="s">
        <v>192</v>
      </c>
    </row>
    <row r="66" spans="6:7" x14ac:dyDescent="0.15">
      <c r="F66" s="2" t="s">
        <v>193</v>
      </c>
      <c r="G66" s="2" t="s">
        <v>194</v>
      </c>
    </row>
    <row r="67" spans="6:7" x14ac:dyDescent="0.15">
      <c r="F67" s="2" t="s">
        <v>195</v>
      </c>
      <c r="G67" s="2" t="s">
        <v>196</v>
      </c>
    </row>
    <row r="68" spans="6:7" x14ac:dyDescent="0.15">
      <c r="F68" s="2" t="s">
        <v>197</v>
      </c>
      <c r="G68" s="2" t="s">
        <v>198</v>
      </c>
    </row>
    <row r="69" spans="6:7" x14ac:dyDescent="0.15">
      <c r="F69" s="2" t="s">
        <v>191</v>
      </c>
      <c r="G69" s="2" t="s">
        <v>199</v>
      </c>
    </row>
    <row r="70" spans="6:7" x14ac:dyDescent="0.15">
      <c r="F70" s="2" t="s">
        <v>200</v>
      </c>
      <c r="G70" s="2" t="s">
        <v>201</v>
      </c>
    </row>
    <row r="71" spans="6:7" x14ac:dyDescent="0.15">
      <c r="F71" s="2" t="s">
        <v>202</v>
      </c>
      <c r="G71" s="2" t="s">
        <v>203</v>
      </c>
    </row>
    <row r="72" spans="6:7" x14ac:dyDescent="0.15">
      <c r="F72" s="2" t="s">
        <v>204</v>
      </c>
      <c r="G72" s="2" t="s">
        <v>205</v>
      </c>
    </row>
    <row r="73" spans="6:7" x14ac:dyDescent="0.15">
      <c r="F73" s="2" t="s">
        <v>206</v>
      </c>
      <c r="G73" s="2" t="s">
        <v>207</v>
      </c>
    </row>
    <row r="74" spans="6:7" x14ac:dyDescent="0.15">
      <c r="F74" s="2" t="s">
        <v>208</v>
      </c>
      <c r="G74" s="2" t="s">
        <v>210</v>
      </c>
    </row>
    <row r="75" spans="6:7" x14ac:dyDescent="0.15">
      <c r="F75" s="2" t="s">
        <v>209</v>
      </c>
      <c r="G75" s="2" t="s">
        <v>211</v>
      </c>
    </row>
    <row r="76" spans="6:7" x14ac:dyDescent="0.15">
      <c r="F76" s="2" t="s">
        <v>212</v>
      </c>
      <c r="G76" s="2" t="s">
        <v>213</v>
      </c>
    </row>
    <row r="77" spans="6:7" x14ac:dyDescent="0.15">
      <c r="F77" s="2" t="s">
        <v>214</v>
      </c>
      <c r="G77" s="2" t="s">
        <v>215</v>
      </c>
    </row>
    <row r="78" spans="6:7" x14ac:dyDescent="0.15">
      <c r="F78" s="2" t="s">
        <v>216</v>
      </c>
      <c r="G78" s="2" t="s">
        <v>217</v>
      </c>
    </row>
    <row r="79" spans="6:7" x14ac:dyDescent="0.15">
      <c r="F79" s="2" t="s">
        <v>218</v>
      </c>
      <c r="G79" s="2" t="s">
        <v>219</v>
      </c>
    </row>
    <row r="80" spans="6:7" x14ac:dyDescent="0.15">
      <c r="F80" s="2" t="s">
        <v>220</v>
      </c>
      <c r="G80" s="2" t="s">
        <v>221</v>
      </c>
    </row>
    <row r="81" spans="6:7" x14ac:dyDescent="0.15">
      <c r="F81" s="2" t="s">
        <v>222</v>
      </c>
      <c r="G81" s="2" t="s">
        <v>223</v>
      </c>
    </row>
    <row r="82" spans="6:7" x14ac:dyDescent="0.15">
      <c r="F82" s="2" t="s">
        <v>224</v>
      </c>
      <c r="G82" s="2" t="s">
        <v>225</v>
      </c>
    </row>
    <row r="83" spans="6:7" x14ac:dyDescent="0.15">
      <c r="F83" s="2" t="s">
        <v>226</v>
      </c>
      <c r="G83" s="2" t="s">
        <v>227</v>
      </c>
    </row>
    <row r="84" spans="6:7" x14ac:dyDescent="0.15">
      <c r="F84" s="2" t="s">
        <v>228</v>
      </c>
      <c r="G84" s="2" t="s">
        <v>229</v>
      </c>
    </row>
    <row r="85" spans="6:7" x14ac:dyDescent="0.15">
      <c r="F85" s="2" t="s">
        <v>230</v>
      </c>
      <c r="G85" s="2" t="s">
        <v>231</v>
      </c>
    </row>
    <row r="86" spans="6:7" x14ac:dyDescent="0.15">
      <c r="F86" s="2" t="s">
        <v>232</v>
      </c>
      <c r="G86" s="2" t="s">
        <v>233</v>
      </c>
    </row>
    <row r="87" spans="6:7" x14ac:dyDescent="0.15">
      <c r="F87" s="2" t="s">
        <v>234</v>
      </c>
      <c r="G87" s="2" t="s">
        <v>235</v>
      </c>
    </row>
    <row r="88" spans="6:7" x14ac:dyDescent="0.15">
      <c r="F88" s="2" t="s">
        <v>236</v>
      </c>
      <c r="G88" s="2" t="s">
        <v>237</v>
      </c>
    </row>
    <row r="89" spans="6:7" x14ac:dyDescent="0.15">
      <c r="F89" s="2" t="s">
        <v>238</v>
      </c>
      <c r="G89" s="2" t="s">
        <v>239</v>
      </c>
    </row>
    <row r="90" spans="6:7" x14ac:dyDescent="0.15">
      <c r="F90" s="2" t="s">
        <v>240</v>
      </c>
      <c r="G90" s="2" t="s">
        <v>241</v>
      </c>
    </row>
    <row r="91" spans="6:7" x14ac:dyDescent="0.15">
      <c r="F91" s="2" t="s">
        <v>242</v>
      </c>
      <c r="G91" s="2" t="s">
        <v>243</v>
      </c>
    </row>
    <row r="92" spans="6:7" x14ac:dyDescent="0.15">
      <c r="F92" s="2" t="s">
        <v>244</v>
      </c>
      <c r="G92" s="2" t="s">
        <v>245</v>
      </c>
    </row>
    <row r="93" spans="6:7" x14ac:dyDescent="0.15">
      <c r="F93" s="2" t="s">
        <v>246</v>
      </c>
      <c r="G93" s="2" t="s">
        <v>247</v>
      </c>
    </row>
    <row r="94" spans="6:7" x14ac:dyDescent="0.15">
      <c r="F94" s="2" t="s">
        <v>248</v>
      </c>
      <c r="G94" s="2" t="s">
        <v>249</v>
      </c>
    </row>
    <row r="95" spans="6:7" x14ac:dyDescent="0.15">
      <c r="F95" s="2" t="s">
        <v>250</v>
      </c>
      <c r="G95" s="2" t="s">
        <v>251</v>
      </c>
    </row>
    <row r="96" spans="6:7" x14ac:dyDescent="0.15">
      <c r="F96" s="2" t="s">
        <v>252</v>
      </c>
      <c r="G96" s="2" t="s">
        <v>253</v>
      </c>
    </row>
    <row r="97" spans="6:7" x14ac:dyDescent="0.15">
      <c r="F97" s="2" t="s">
        <v>254</v>
      </c>
      <c r="G97" s="2" t="s">
        <v>255</v>
      </c>
    </row>
    <row r="98" spans="6:7" x14ac:dyDescent="0.15">
      <c r="F98" s="2" t="s">
        <v>256</v>
      </c>
      <c r="G98" s="2" t="s">
        <v>257</v>
      </c>
    </row>
    <row r="99" spans="6:7" x14ac:dyDescent="0.15">
      <c r="F99" s="2" t="s">
        <v>258</v>
      </c>
      <c r="G99" s="2" t="s">
        <v>259</v>
      </c>
    </row>
    <row r="100" spans="6:7" x14ac:dyDescent="0.15">
      <c r="F100" s="2" t="s">
        <v>260</v>
      </c>
      <c r="G100" s="2" t="s">
        <v>261</v>
      </c>
    </row>
    <row r="101" spans="6:7" x14ac:dyDescent="0.15">
      <c r="F101" s="2" t="s">
        <v>262</v>
      </c>
      <c r="G101" s="2" t="s">
        <v>263</v>
      </c>
    </row>
    <row r="102" spans="6:7" x14ac:dyDescent="0.15">
      <c r="F102" s="2" t="s">
        <v>264</v>
      </c>
      <c r="G102" s="2" t="s">
        <v>265</v>
      </c>
    </row>
    <row r="103" spans="6:7" x14ac:dyDescent="0.15">
      <c r="F103" s="2" t="s">
        <v>266</v>
      </c>
      <c r="G103" s="2" t="s">
        <v>267</v>
      </c>
    </row>
    <row r="104" spans="6:7" x14ac:dyDescent="0.15">
      <c r="F104" s="2" t="s">
        <v>268</v>
      </c>
      <c r="G104" s="2" t="s">
        <v>269</v>
      </c>
    </row>
    <row r="105" spans="6:7" x14ac:dyDescent="0.15">
      <c r="F105" s="2" t="s">
        <v>270</v>
      </c>
      <c r="G105" s="2" t="s">
        <v>271</v>
      </c>
    </row>
    <row r="106" spans="6:7" x14ac:dyDescent="0.15">
      <c r="F106" s="2" t="s">
        <v>272</v>
      </c>
      <c r="G106" s="2" t="s">
        <v>273</v>
      </c>
    </row>
    <row r="107" spans="6:7" x14ac:dyDescent="0.15">
      <c r="F107" s="2" t="s">
        <v>274</v>
      </c>
      <c r="G107" s="2" t="s">
        <v>275</v>
      </c>
    </row>
    <row r="108" spans="6:7" x14ac:dyDescent="0.15">
      <c r="F108" s="2" t="s">
        <v>276</v>
      </c>
      <c r="G108" s="2" t="s">
        <v>277</v>
      </c>
    </row>
    <row r="109" spans="6:7" x14ac:dyDescent="0.15">
      <c r="F109" s="2" t="s">
        <v>278</v>
      </c>
      <c r="G109" s="2" t="s">
        <v>279</v>
      </c>
    </row>
    <row r="110" spans="6:7" x14ac:dyDescent="0.15">
      <c r="F110" s="2" t="s">
        <v>280</v>
      </c>
      <c r="G110" s="2" t="s">
        <v>281</v>
      </c>
    </row>
    <row r="111" spans="6:7" x14ac:dyDescent="0.15">
      <c r="F111" s="2" t="s">
        <v>282</v>
      </c>
      <c r="G111" s="2" t="s">
        <v>283</v>
      </c>
    </row>
    <row r="112" spans="6:7" x14ac:dyDescent="0.15">
      <c r="F112" s="2" t="s">
        <v>284</v>
      </c>
      <c r="G112" s="2" t="s">
        <v>285</v>
      </c>
    </row>
    <row r="113" spans="6:7" x14ac:dyDescent="0.15">
      <c r="F113" s="2" t="s">
        <v>286</v>
      </c>
      <c r="G113" s="2" t="s">
        <v>287</v>
      </c>
    </row>
    <row r="114" spans="6:7" x14ac:dyDescent="0.15">
      <c r="F114" s="2" t="s">
        <v>288</v>
      </c>
      <c r="G114" s="2" t="s">
        <v>289</v>
      </c>
    </row>
    <row r="115" spans="6:7" x14ac:dyDescent="0.15">
      <c r="F115" s="2" t="s">
        <v>290</v>
      </c>
      <c r="G115" s="2" t="s">
        <v>291</v>
      </c>
    </row>
    <row r="116" spans="6:7" x14ac:dyDescent="0.15">
      <c r="F116" s="2" t="s">
        <v>292</v>
      </c>
      <c r="G116" s="2" t="s">
        <v>293</v>
      </c>
    </row>
    <row r="117" spans="6:7" x14ac:dyDescent="0.15">
      <c r="F117" s="2" t="s">
        <v>294</v>
      </c>
      <c r="G117" s="2" t="s">
        <v>295</v>
      </c>
    </row>
    <row r="118" spans="6:7" x14ac:dyDescent="0.15">
      <c r="F118" s="2" t="s">
        <v>296</v>
      </c>
      <c r="G118" s="2" t="s">
        <v>297</v>
      </c>
    </row>
    <row r="119" spans="6:7" x14ac:dyDescent="0.15">
      <c r="F119" s="2" t="s">
        <v>298</v>
      </c>
      <c r="G119" s="2" t="s">
        <v>299</v>
      </c>
    </row>
    <row r="120" spans="6:7" x14ac:dyDescent="0.15">
      <c r="F120" s="2" t="s">
        <v>300</v>
      </c>
      <c r="G120" s="2" t="s">
        <v>301</v>
      </c>
    </row>
    <row r="121" spans="6:7" x14ac:dyDescent="0.15">
      <c r="F121" s="2" t="s">
        <v>302</v>
      </c>
      <c r="G121" s="2" t="s">
        <v>303</v>
      </c>
    </row>
    <row r="122" spans="6:7" x14ac:dyDescent="0.15">
      <c r="F122" s="2" t="s">
        <v>304</v>
      </c>
      <c r="G122" s="2" t="s">
        <v>305</v>
      </c>
    </row>
    <row r="123" spans="6:7" x14ac:dyDescent="0.15">
      <c r="F123" s="2" t="s">
        <v>306</v>
      </c>
      <c r="G123" s="2" t="s">
        <v>307</v>
      </c>
    </row>
    <row r="124" spans="6:7" x14ac:dyDescent="0.15">
      <c r="F124" s="2" t="s">
        <v>308</v>
      </c>
      <c r="G124" s="2" t="s">
        <v>309</v>
      </c>
    </row>
    <row r="125" spans="6:7" x14ac:dyDescent="0.15">
      <c r="F125" s="2" t="s">
        <v>310</v>
      </c>
      <c r="G125" s="2" t="s">
        <v>311</v>
      </c>
    </row>
    <row r="126" spans="6:7" x14ac:dyDescent="0.15">
      <c r="F126" s="2" t="s">
        <v>312</v>
      </c>
      <c r="G126" s="2" t="s">
        <v>313</v>
      </c>
    </row>
    <row r="127" spans="6:7" x14ac:dyDescent="0.15">
      <c r="F127" s="2" t="s">
        <v>314</v>
      </c>
      <c r="G127" s="2" t="s">
        <v>315</v>
      </c>
    </row>
    <row r="128" spans="6:7" x14ac:dyDescent="0.15">
      <c r="F128" s="2" t="s">
        <v>316</v>
      </c>
      <c r="G128" s="2" t="s">
        <v>317</v>
      </c>
    </row>
    <row r="129" spans="6:7" x14ac:dyDescent="0.15">
      <c r="F129" s="2" t="s">
        <v>318</v>
      </c>
      <c r="G129" s="2" t="s">
        <v>319</v>
      </c>
    </row>
    <row r="130" spans="6:7" x14ac:dyDescent="0.15">
      <c r="F130" s="2" t="s">
        <v>320</v>
      </c>
      <c r="G130" s="2" t="s">
        <v>321</v>
      </c>
    </row>
    <row r="131" spans="6:7" x14ac:dyDescent="0.15">
      <c r="F131" s="2" t="s">
        <v>322</v>
      </c>
      <c r="G131" s="2" t="s">
        <v>323</v>
      </c>
    </row>
    <row r="132" spans="6:7" x14ac:dyDescent="0.15">
      <c r="F132" s="2" t="s">
        <v>324</v>
      </c>
      <c r="G132" s="2" t="s">
        <v>325</v>
      </c>
    </row>
    <row r="133" spans="6:7" x14ac:dyDescent="0.15">
      <c r="F133" s="2" t="s">
        <v>326</v>
      </c>
      <c r="G133" s="2" t="s">
        <v>327</v>
      </c>
    </row>
    <row r="134" spans="6:7" x14ac:dyDescent="0.15">
      <c r="F134" s="2" t="s">
        <v>328</v>
      </c>
      <c r="G134" s="2" t="s">
        <v>329</v>
      </c>
    </row>
    <row r="135" spans="6:7" x14ac:dyDescent="0.15">
      <c r="F135" s="2" t="s">
        <v>330</v>
      </c>
      <c r="G135" s="2" t="s">
        <v>331</v>
      </c>
    </row>
    <row r="136" spans="6:7" x14ac:dyDescent="0.15">
      <c r="F136" s="2" t="s">
        <v>332</v>
      </c>
      <c r="G136" s="2" t="s">
        <v>333</v>
      </c>
    </row>
    <row r="137" spans="6:7" x14ac:dyDescent="0.15">
      <c r="F137" s="2" t="s">
        <v>334</v>
      </c>
      <c r="G137" s="2" t="s">
        <v>335</v>
      </c>
    </row>
    <row r="138" spans="6:7" x14ac:dyDescent="0.15">
      <c r="F138" s="2" t="s">
        <v>336</v>
      </c>
      <c r="G138" s="2" t="s">
        <v>337</v>
      </c>
    </row>
    <row r="139" spans="6:7" x14ac:dyDescent="0.15">
      <c r="F139" s="2" t="s">
        <v>338</v>
      </c>
      <c r="G139" s="2" t="s">
        <v>339</v>
      </c>
    </row>
    <row r="140" spans="6:7" x14ac:dyDescent="0.15">
      <c r="F140" s="2" t="s">
        <v>340</v>
      </c>
      <c r="G140" s="2" t="s">
        <v>341</v>
      </c>
    </row>
    <row r="141" spans="6:7" x14ac:dyDescent="0.15">
      <c r="F141" s="2" t="s">
        <v>342</v>
      </c>
      <c r="G141" s="2" t="s">
        <v>343</v>
      </c>
    </row>
    <row r="142" spans="6:7" x14ac:dyDescent="0.15">
      <c r="F142" s="2" t="s">
        <v>344</v>
      </c>
      <c r="G142" s="2" t="s">
        <v>345</v>
      </c>
    </row>
    <row r="143" spans="6:7" x14ac:dyDescent="0.15">
      <c r="F143" s="2" t="s">
        <v>346</v>
      </c>
      <c r="G143" s="2" t="s">
        <v>347</v>
      </c>
    </row>
    <row r="144" spans="6:7" x14ac:dyDescent="0.15">
      <c r="F144" s="2" t="s">
        <v>348</v>
      </c>
      <c r="G144" s="2" t="s">
        <v>349</v>
      </c>
    </row>
    <row r="145" spans="6:7" x14ac:dyDescent="0.15">
      <c r="F145" s="2" t="s">
        <v>350</v>
      </c>
      <c r="G145" s="2" t="s">
        <v>351</v>
      </c>
    </row>
    <row r="146" spans="6:7" x14ac:dyDescent="0.15">
      <c r="F146" s="2" t="s">
        <v>352</v>
      </c>
      <c r="G146" s="2" t="s">
        <v>353</v>
      </c>
    </row>
    <row r="147" spans="6:7" x14ac:dyDescent="0.15">
      <c r="F147" s="2" t="s">
        <v>354</v>
      </c>
      <c r="G147" s="2" t="s">
        <v>355</v>
      </c>
    </row>
    <row r="148" spans="6:7" x14ac:dyDescent="0.15">
      <c r="F148" s="2" t="s">
        <v>356</v>
      </c>
      <c r="G148" s="2" t="s">
        <v>357</v>
      </c>
    </row>
    <row r="149" spans="6:7" x14ac:dyDescent="0.15">
      <c r="F149" s="2" t="s">
        <v>358</v>
      </c>
      <c r="G149" s="2" t="s">
        <v>359</v>
      </c>
    </row>
    <row r="150" spans="6:7" x14ac:dyDescent="0.15">
      <c r="F150" s="2" t="s">
        <v>360</v>
      </c>
      <c r="G150" s="2" t="s">
        <v>361</v>
      </c>
    </row>
    <row r="151" spans="6:7" x14ac:dyDescent="0.15">
      <c r="F151" s="2" t="s">
        <v>362</v>
      </c>
      <c r="G151" s="2" t="s">
        <v>363</v>
      </c>
    </row>
    <row r="152" spans="6:7" x14ac:dyDescent="0.15">
      <c r="F152" s="2" t="s">
        <v>364</v>
      </c>
      <c r="G152" s="2" t="s">
        <v>365</v>
      </c>
    </row>
    <row r="153" spans="6:7" x14ac:dyDescent="0.15">
      <c r="F153" s="2" t="s">
        <v>366</v>
      </c>
      <c r="G153" s="2" t="s">
        <v>367</v>
      </c>
    </row>
    <row r="154" spans="6:7" x14ac:dyDescent="0.15">
      <c r="F154" s="2" t="s">
        <v>368</v>
      </c>
      <c r="G154" s="2" t="s">
        <v>369</v>
      </c>
    </row>
    <row r="155" spans="6:7" x14ac:dyDescent="0.15">
      <c r="F155" s="2" t="s">
        <v>370</v>
      </c>
      <c r="G155" s="2" t="s">
        <v>371</v>
      </c>
    </row>
    <row r="156" spans="6:7" x14ac:dyDescent="0.15">
      <c r="F156" s="2" t="s">
        <v>372</v>
      </c>
      <c r="G156" s="2" t="s">
        <v>373</v>
      </c>
    </row>
    <row r="157" spans="6:7" x14ac:dyDescent="0.15">
      <c r="F157" s="2" t="s">
        <v>374</v>
      </c>
      <c r="G157" s="2" t="s">
        <v>375</v>
      </c>
    </row>
    <row r="158" spans="6:7" x14ac:dyDescent="0.15">
      <c r="F158" s="2" t="s">
        <v>376</v>
      </c>
      <c r="G158" s="2" t="s">
        <v>377</v>
      </c>
    </row>
    <row r="159" spans="6:7" x14ac:dyDescent="0.15">
      <c r="F159" s="2" t="s">
        <v>378</v>
      </c>
      <c r="G159" s="2" t="s">
        <v>379</v>
      </c>
    </row>
    <row r="160" spans="6:7" x14ac:dyDescent="0.15">
      <c r="F160" s="2" t="s">
        <v>380</v>
      </c>
      <c r="G160" s="2" t="s">
        <v>381</v>
      </c>
    </row>
    <row r="161" spans="6:7" x14ac:dyDescent="0.15">
      <c r="F161" s="2" t="s">
        <v>382</v>
      </c>
      <c r="G161" s="2" t="s">
        <v>383</v>
      </c>
    </row>
    <row r="162" spans="6:7" x14ac:dyDescent="0.15">
      <c r="F162" s="2" t="s">
        <v>384</v>
      </c>
      <c r="G162" s="2" t="s">
        <v>385</v>
      </c>
    </row>
    <row r="163" spans="6:7" x14ac:dyDescent="0.15">
      <c r="F163" s="2" t="s">
        <v>386</v>
      </c>
      <c r="G163" s="2" t="s">
        <v>387</v>
      </c>
    </row>
    <row r="164" spans="6:7" x14ac:dyDescent="0.15">
      <c r="F164" s="2" t="s">
        <v>388</v>
      </c>
      <c r="G164" s="2" t="s">
        <v>389</v>
      </c>
    </row>
    <row r="165" spans="6:7" x14ac:dyDescent="0.15">
      <c r="F165" s="2" t="s">
        <v>390</v>
      </c>
      <c r="G165" s="2" t="s">
        <v>391</v>
      </c>
    </row>
    <row r="166" spans="6:7" x14ac:dyDescent="0.15">
      <c r="F166" s="2" t="s">
        <v>392</v>
      </c>
      <c r="G166" s="2" t="s">
        <v>393</v>
      </c>
    </row>
    <row r="167" spans="6:7" x14ac:dyDescent="0.15">
      <c r="F167" s="2" t="s">
        <v>394</v>
      </c>
      <c r="G167" s="2" t="s">
        <v>395</v>
      </c>
    </row>
    <row r="168" spans="6:7" x14ac:dyDescent="0.15">
      <c r="F168" s="2" t="s">
        <v>396</v>
      </c>
      <c r="G168" s="2" t="s">
        <v>397</v>
      </c>
    </row>
    <row r="169" spans="6:7" x14ac:dyDescent="0.15">
      <c r="F169" s="2" t="s">
        <v>398</v>
      </c>
      <c r="G169" s="2" t="s">
        <v>399</v>
      </c>
    </row>
    <row r="170" spans="6:7" x14ac:dyDescent="0.15">
      <c r="F170" s="2" t="s">
        <v>400</v>
      </c>
      <c r="G170" s="2" t="s">
        <v>401</v>
      </c>
    </row>
    <row r="171" spans="6:7" x14ac:dyDescent="0.15">
      <c r="F171" s="2" t="s">
        <v>402</v>
      </c>
      <c r="G171" s="2" t="s">
        <v>403</v>
      </c>
    </row>
    <row r="172" spans="6:7" x14ac:dyDescent="0.15">
      <c r="F172" s="2" t="s">
        <v>404</v>
      </c>
      <c r="G172" s="2" t="s">
        <v>405</v>
      </c>
    </row>
    <row r="173" spans="6:7" x14ac:dyDescent="0.15">
      <c r="F173" s="2" t="s">
        <v>406</v>
      </c>
      <c r="G173" s="2" t="s">
        <v>407</v>
      </c>
    </row>
    <row r="174" spans="6:7" x14ac:dyDescent="0.15">
      <c r="F174" s="2" t="s">
        <v>408</v>
      </c>
      <c r="G174" s="2" t="s">
        <v>409</v>
      </c>
    </row>
    <row r="175" spans="6:7" x14ac:dyDescent="0.15">
      <c r="F175" s="2" t="s">
        <v>410</v>
      </c>
      <c r="G175" s="2" t="s">
        <v>411</v>
      </c>
    </row>
    <row r="176" spans="6:7" x14ac:dyDescent="0.15">
      <c r="F176" s="2" t="s">
        <v>412</v>
      </c>
      <c r="G176" s="2" t="s">
        <v>413</v>
      </c>
    </row>
    <row r="177" spans="6:7" x14ac:dyDescent="0.15">
      <c r="F177" s="2" t="s">
        <v>414</v>
      </c>
      <c r="G177" s="2" t="s">
        <v>415</v>
      </c>
    </row>
    <row r="178" spans="6:7" x14ac:dyDescent="0.15">
      <c r="F178" s="2" t="s">
        <v>416</v>
      </c>
      <c r="G178" s="2" t="s">
        <v>417</v>
      </c>
    </row>
    <row r="179" spans="6:7" x14ac:dyDescent="0.15">
      <c r="F179" s="2" t="s">
        <v>418</v>
      </c>
      <c r="G179" s="2" t="s">
        <v>419</v>
      </c>
    </row>
    <row r="180" spans="6:7" x14ac:dyDescent="0.15">
      <c r="F180" s="2" t="s">
        <v>420</v>
      </c>
      <c r="G180" s="2" t="s">
        <v>421</v>
      </c>
    </row>
    <row r="181" spans="6:7" x14ac:dyDescent="0.15">
      <c r="F181" s="2" t="s">
        <v>422</v>
      </c>
      <c r="G181" s="2" t="s">
        <v>423</v>
      </c>
    </row>
    <row r="182" spans="6:7" x14ac:dyDescent="0.15">
      <c r="F182" s="2" t="s">
        <v>424</v>
      </c>
      <c r="G182" s="2" t="s">
        <v>425</v>
      </c>
    </row>
    <row r="183" spans="6:7" x14ac:dyDescent="0.15">
      <c r="F183" s="2" t="s">
        <v>426</v>
      </c>
      <c r="G183" s="2" t="s">
        <v>427</v>
      </c>
    </row>
    <row r="184" spans="6:7" x14ac:dyDescent="0.15">
      <c r="F184" s="2" t="s">
        <v>428</v>
      </c>
      <c r="G184" s="2" t="s">
        <v>429</v>
      </c>
    </row>
    <row r="185" spans="6:7" x14ac:dyDescent="0.15">
      <c r="F185" s="2" t="s">
        <v>430</v>
      </c>
      <c r="G185" s="2" t="s">
        <v>431</v>
      </c>
    </row>
    <row r="186" spans="6:7" x14ac:dyDescent="0.15">
      <c r="F186" s="2" t="s">
        <v>432</v>
      </c>
      <c r="G186" s="2" t="s">
        <v>433</v>
      </c>
    </row>
    <row r="187" spans="6:7" x14ac:dyDescent="0.15">
      <c r="F187" s="2" t="s">
        <v>434</v>
      </c>
      <c r="G187" s="2" t="s">
        <v>435</v>
      </c>
    </row>
    <row r="188" spans="6:7" x14ac:dyDescent="0.15">
      <c r="F188" s="2" t="s">
        <v>436</v>
      </c>
      <c r="G188" s="2" t="s">
        <v>437</v>
      </c>
    </row>
    <row r="189" spans="6:7" x14ac:dyDescent="0.15">
      <c r="F189" s="2" t="s">
        <v>438</v>
      </c>
      <c r="G189" s="2" t="s">
        <v>439</v>
      </c>
    </row>
    <row r="190" spans="6:7" x14ac:dyDescent="0.15">
      <c r="F190" s="2" t="s">
        <v>440</v>
      </c>
      <c r="G190" s="2" t="s">
        <v>441</v>
      </c>
    </row>
    <row r="191" spans="6:7" x14ac:dyDescent="0.15">
      <c r="F191" s="2" t="s">
        <v>442</v>
      </c>
      <c r="G191" s="2" t="s">
        <v>443</v>
      </c>
    </row>
    <row r="192" spans="6:7" x14ac:dyDescent="0.15">
      <c r="F192" s="2" t="s">
        <v>114</v>
      </c>
      <c r="G192" s="2" t="s">
        <v>444</v>
      </c>
    </row>
    <row r="193" spans="6:7" x14ac:dyDescent="0.15">
      <c r="F193" s="2" t="s">
        <v>445</v>
      </c>
      <c r="G193" s="2" t="s">
        <v>446</v>
      </c>
    </row>
    <row r="194" spans="6:7" x14ac:dyDescent="0.15">
      <c r="F194" s="2" t="s">
        <v>447</v>
      </c>
      <c r="G194" s="2" t="s">
        <v>448</v>
      </c>
    </row>
    <row r="195" spans="6:7" x14ac:dyDescent="0.15">
      <c r="F195" s="2" t="s">
        <v>449</v>
      </c>
      <c r="G195" s="2" t="s">
        <v>450</v>
      </c>
    </row>
    <row r="196" spans="6:7" x14ac:dyDescent="0.15">
      <c r="F196" s="2" t="s">
        <v>451</v>
      </c>
      <c r="G196" s="2" t="s">
        <v>453</v>
      </c>
    </row>
    <row r="197" spans="6:7" x14ac:dyDescent="0.15">
      <c r="F197" s="2" t="s">
        <v>454</v>
      </c>
      <c r="G197" s="2" t="s">
        <v>455</v>
      </c>
    </row>
    <row r="198" spans="6:7" x14ac:dyDescent="0.15">
      <c r="F198" s="2" t="s">
        <v>456</v>
      </c>
      <c r="G198" s="2" t="s">
        <v>457</v>
      </c>
    </row>
    <row r="199" spans="6:7" x14ac:dyDescent="0.15">
      <c r="F199" s="2" t="s">
        <v>458</v>
      </c>
      <c r="G199" s="2" t="s">
        <v>459</v>
      </c>
    </row>
    <row r="200" spans="6:7" x14ac:dyDescent="0.15">
      <c r="F200" s="2" t="s">
        <v>460</v>
      </c>
      <c r="G200" s="2" t="s">
        <v>461</v>
      </c>
    </row>
    <row r="201" spans="6:7" x14ac:dyDescent="0.15">
      <c r="F201" s="2" t="s">
        <v>462</v>
      </c>
      <c r="G201" s="2" t="s">
        <v>463</v>
      </c>
    </row>
    <row r="202" spans="6:7" x14ac:dyDescent="0.15">
      <c r="F202" s="2" t="s">
        <v>464</v>
      </c>
      <c r="G202" s="2" t="s">
        <v>465</v>
      </c>
    </row>
    <row r="203" spans="6:7" x14ac:dyDescent="0.15">
      <c r="F203" s="2" t="s">
        <v>466</v>
      </c>
      <c r="G203" s="2" t="s">
        <v>467</v>
      </c>
    </row>
    <row r="204" spans="6:7" x14ac:dyDescent="0.15">
      <c r="F204" s="2" t="s">
        <v>468</v>
      </c>
      <c r="G204" s="2" t="s">
        <v>469</v>
      </c>
    </row>
    <row r="205" spans="6:7" x14ac:dyDescent="0.15">
      <c r="F205" s="2" t="s">
        <v>470</v>
      </c>
      <c r="G205" s="2" t="s">
        <v>471</v>
      </c>
    </row>
    <row r="206" spans="6:7" x14ac:dyDescent="0.15">
      <c r="F206" s="2" t="s">
        <v>472</v>
      </c>
      <c r="G206" s="2" t="s">
        <v>473</v>
      </c>
    </row>
    <row r="207" spans="6:7" x14ac:dyDescent="0.15">
      <c r="F207" s="2" t="s">
        <v>474</v>
      </c>
      <c r="G207" s="2" t="s">
        <v>475</v>
      </c>
    </row>
    <row r="208" spans="6:7" x14ac:dyDescent="0.15">
      <c r="F208" s="2" t="s">
        <v>476</v>
      </c>
      <c r="G208" s="2" t="s">
        <v>477</v>
      </c>
    </row>
    <row r="209" spans="6:7" x14ac:dyDescent="0.15">
      <c r="F209" s="2" t="s">
        <v>478</v>
      </c>
      <c r="G209" s="2" t="s">
        <v>479</v>
      </c>
    </row>
    <row r="210" spans="6:7" x14ac:dyDescent="0.15">
      <c r="F210" s="2" t="s">
        <v>480</v>
      </c>
      <c r="G210" s="2" t="s">
        <v>481</v>
      </c>
    </row>
    <row r="211" spans="6:7" x14ac:dyDescent="0.15">
      <c r="F211" s="2" t="s">
        <v>482</v>
      </c>
      <c r="G211" s="2" t="s">
        <v>483</v>
      </c>
    </row>
    <row r="212" spans="6:7" x14ac:dyDescent="0.15">
      <c r="F212" s="2" t="s">
        <v>452</v>
      </c>
      <c r="G212" s="2" t="s">
        <v>484</v>
      </c>
    </row>
    <row r="213" spans="6:7" x14ac:dyDescent="0.15">
      <c r="F213" s="2" t="s">
        <v>485</v>
      </c>
      <c r="G213" s="2" t="s">
        <v>486</v>
      </c>
    </row>
    <row r="214" spans="6:7" x14ac:dyDescent="0.15">
      <c r="F214" s="2" t="s">
        <v>487</v>
      </c>
      <c r="G214" s="2" t="s">
        <v>488</v>
      </c>
    </row>
    <row r="215" spans="6:7" x14ac:dyDescent="0.15">
      <c r="F215" s="2" t="s">
        <v>489</v>
      </c>
      <c r="G215" s="2" t="s">
        <v>490</v>
      </c>
    </row>
    <row r="216" spans="6:7" x14ac:dyDescent="0.15">
      <c r="F216" s="2" t="s">
        <v>491</v>
      </c>
      <c r="G216" s="2" t="s">
        <v>492</v>
      </c>
    </row>
    <row r="217" spans="6:7" x14ac:dyDescent="0.15">
      <c r="F217" s="2" t="s">
        <v>493</v>
      </c>
      <c r="G217" s="2" t="s">
        <v>494</v>
      </c>
    </row>
    <row r="218" spans="6:7" x14ac:dyDescent="0.15">
      <c r="F218" s="2" t="s">
        <v>495</v>
      </c>
      <c r="G218" s="2" t="s">
        <v>496</v>
      </c>
    </row>
    <row r="219" spans="6:7" x14ac:dyDescent="0.15">
      <c r="F219" s="2" t="s">
        <v>497</v>
      </c>
      <c r="G219" s="2" t="s">
        <v>498</v>
      </c>
    </row>
    <row r="220" spans="6:7" x14ac:dyDescent="0.15">
      <c r="F220" s="2" t="s">
        <v>499</v>
      </c>
      <c r="G220" s="2" t="s">
        <v>500</v>
      </c>
    </row>
    <row r="221" spans="6:7" x14ac:dyDescent="0.15">
      <c r="F221" s="2" t="s">
        <v>501</v>
      </c>
      <c r="G221" s="2" t="s">
        <v>502</v>
      </c>
    </row>
    <row r="222" spans="6:7" x14ac:dyDescent="0.15">
      <c r="F222" s="2" t="s">
        <v>503</v>
      </c>
      <c r="G222" s="2" t="s">
        <v>504</v>
      </c>
    </row>
    <row r="223" spans="6:7" x14ac:dyDescent="0.15">
      <c r="F223" s="2" t="s">
        <v>505</v>
      </c>
      <c r="G223" s="2" t="s">
        <v>506</v>
      </c>
    </row>
    <row r="224" spans="6:7" x14ac:dyDescent="0.15">
      <c r="F224" s="2" t="s">
        <v>507</v>
      </c>
      <c r="G224" s="2" t="s">
        <v>508</v>
      </c>
    </row>
    <row r="225" spans="6:7" x14ac:dyDescent="0.15">
      <c r="F225" s="2" t="s">
        <v>509</v>
      </c>
      <c r="G225" s="2" t="s">
        <v>510</v>
      </c>
    </row>
    <row r="226" spans="6:7" x14ac:dyDescent="0.15">
      <c r="F226" s="2" t="s">
        <v>511</v>
      </c>
      <c r="G226" s="2" t="s">
        <v>512</v>
      </c>
    </row>
    <row r="227" spans="6:7" x14ac:dyDescent="0.15">
      <c r="F227" s="2" t="s">
        <v>513</v>
      </c>
      <c r="G227" s="2" t="s">
        <v>514</v>
      </c>
    </row>
    <row r="228" spans="6:7" x14ac:dyDescent="0.15">
      <c r="F228" s="2" t="s">
        <v>515</v>
      </c>
      <c r="G228" s="2" t="s">
        <v>516</v>
      </c>
    </row>
    <row r="229" spans="6:7" x14ac:dyDescent="0.15">
      <c r="F229" s="2" t="s">
        <v>517</v>
      </c>
      <c r="G229" s="2" t="s">
        <v>518</v>
      </c>
    </row>
    <row r="230" spans="6:7" x14ac:dyDescent="0.15">
      <c r="F230" s="2" t="s">
        <v>519</v>
      </c>
      <c r="G230" s="2" t="s">
        <v>520</v>
      </c>
    </row>
    <row r="231" spans="6:7" x14ac:dyDescent="0.15">
      <c r="F231" s="2" t="s">
        <v>521</v>
      </c>
      <c r="G231" s="2" t="s">
        <v>522</v>
      </c>
    </row>
    <row r="232" spans="6:7" x14ac:dyDescent="0.15">
      <c r="F232" s="2" t="s">
        <v>523</v>
      </c>
      <c r="G232" s="2" t="s">
        <v>524</v>
      </c>
    </row>
    <row r="233" spans="6:7" x14ac:dyDescent="0.15">
      <c r="F233" s="2" t="s">
        <v>525</v>
      </c>
      <c r="G233" s="2" t="s">
        <v>526</v>
      </c>
    </row>
    <row r="234" spans="6:7" x14ac:dyDescent="0.15">
      <c r="F234" s="2" t="s">
        <v>527</v>
      </c>
      <c r="G234" s="2" t="s">
        <v>528</v>
      </c>
    </row>
    <row r="235" spans="6:7" x14ac:dyDescent="0.15">
      <c r="F235" s="2" t="s">
        <v>529</v>
      </c>
      <c r="G235" s="2" t="s">
        <v>530</v>
      </c>
    </row>
    <row r="236" spans="6:7" x14ac:dyDescent="0.15">
      <c r="F236" s="2" t="s">
        <v>531</v>
      </c>
      <c r="G236" s="2" t="s">
        <v>532</v>
      </c>
    </row>
    <row r="237" spans="6:7" x14ac:dyDescent="0.15">
      <c r="F237" s="2" t="s">
        <v>533</v>
      </c>
      <c r="G237" s="2" t="s">
        <v>534</v>
      </c>
    </row>
    <row r="238" spans="6:7" x14ac:dyDescent="0.15">
      <c r="F238" s="2" t="s">
        <v>535</v>
      </c>
      <c r="G238" s="2" t="s">
        <v>536</v>
      </c>
    </row>
    <row r="239" spans="6:7" x14ac:dyDescent="0.15">
      <c r="F239" s="2" t="s">
        <v>537</v>
      </c>
      <c r="G239" s="2" t="s">
        <v>538</v>
      </c>
    </row>
    <row r="240" spans="6:7" x14ac:dyDescent="0.15">
      <c r="F240" s="2" t="s">
        <v>539</v>
      </c>
      <c r="G240" s="2" t="s">
        <v>540</v>
      </c>
    </row>
    <row r="241" spans="6:7" x14ac:dyDescent="0.15">
      <c r="F241" s="2" t="s">
        <v>541</v>
      </c>
      <c r="G241" s="2" t="s">
        <v>542</v>
      </c>
    </row>
    <row r="242" spans="6:7" x14ac:dyDescent="0.15">
      <c r="F242" s="2" t="s">
        <v>543</v>
      </c>
      <c r="G242" s="2" t="s">
        <v>544</v>
      </c>
    </row>
    <row r="243" spans="6:7" x14ac:dyDescent="0.15">
      <c r="F243" s="2" t="s">
        <v>545</v>
      </c>
      <c r="G243" s="2" t="s">
        <v>546</v>
      </c>
    </row>
    <row r="244" spans="6:7" x14ac:dyDescent="0.15">
      <c r="F244" s="2" t="s">
        <v>547</v>
      </c>
      <c r="G244" s="2" t="s">
        <v>548</v>
      </c>
    </row>
    <row r="245" spans="6:7" x14ac:dyDescent="0.15">
      <c r="F245" s="2" t="s">
        <v>549</v>
      </c>
      <c r="G245" s="2" t="s">
        <v>550</v>
      </c>
    </row>
    <row r="246" spans="6:7" x14ac:dyDescent="0.15">
      <c r="F246" s="2" t="s">
        <v>551</v>
      </c>
      <c r="G246" s="2" t="s">
        <v>552</v>
      </c>
    </row>
    <row r="247" spans="6:7" x14ac:dyDescent="0.15">
      <c r="F247" s="2" t="s">
        <v>553</v>
      </c>
      <c r="G247" s="2" t="s">
        <v>554</v>
      </c>
    </row>
    <row r="248" spans="6:7" x14ac:dyDescent="0.15">
      <c r="F248" s="2" t="s">
        <v>555</v>
      </c>
      <c r="G248" s="2" t="s">
        <v>556</v>
      </c>
    </row>
    <row r="249" spans="6:7" x14ac:dyDescent="0.15">
      <c r="F249" s="2" t="s">
        <v>557</v>
      </c>
      <c r="G249" s="2" t="s">
        <v>558</v>
      </c>
    </row>
    <row r="250" spans="6:7" x14ac:dyDescent="0.15">
      <c r="F250" s="2" t="s">
        <v>559</v>
      </c>
      <c r="G250" s="2" t="s">
        <v>560</v>
      </c>
    </row>
    <row r="251" spans="6:7" x14ac:dyDescent="0.15">
      <c r="F251" s="2" t="s">
        <v>561</v>
      </c>
      <c r="G251" s="2" t="s">
        <v>562</v>
      </c>
    </row>
    <row r="252" spans="6:7" x14ac:dyDescent="0.15">
      <c r="F252" s="2" t="s">
        <v>563</v>
      </c>
      <c r="G252" s="2" t="s">
        <v>564</v>
      </c>
    </row>
    <row r="253" spans="6:7" x14ac:dyDescent="0.15">
      <c r="F253" s="2" t="s">
        <v>565</v>
      </c>
      <c r="G253" s="2" t="s">
        <v>566</v>
      </c>
    </row>
    <row r="254" spans="6:7" x14ac:dyDescent="0.15">
      <c r="F254" s="2" t="s">
        <v>567</v>
      </c>
      <c r="G254" s="2" t="s">
        <v>568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J4" sqref="J4"/>
    </sheetView>
  </sheetViews>
  <sheetFormatPr baseColWidth="10" defaultColWidth="8.83203125" defaultRowHeight="13" x14ac:dyDescent="0.15"/>
  <cols>
    <col min="1" max="16384" width="8.83203125" style="1"/>
  </cols>
  <sheetData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Sorting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John Van Camp</cp:lastModifiedBy>
  <dcterms:created xsi:type="dcterms:W3CDTF">2012-01-06T21:56:57Z</dcterms:created>
  <dcterms:modified xsi:type="dcterms:W3CDTF">2020-11-05T21:01:35Z</dcterms:modified>
</cp:coreProperties>
</file>